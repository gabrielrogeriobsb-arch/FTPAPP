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iranda/Library/CloudStorage/GoogleDrive-gabrielrogeriobsb@gmail.com/Meu Drive/SINC/TRABALHO/GABRIEL ROGERIO - GASTRONOMIA 2014/CONSULTORIA/2026/"/>
    </mc:Choice>
  </mc:AlternateContent>
  <xr:revisionPtr revIDLastSave="0" documentId="8_{7ACE1AC7-2EF4-E54A-B3B7-F22FB8C60A22}" xr6:coauthVersionLast="47" xr6:coauthVersionMax="47" xr10:uidLastSave="{00000000-0000-0000-0000-000000000000}"/>
  <bookViews>
    <workbookView xWindow="0" yWindow="580" windowWidth="25600" windowHeight="16060" xr2:uid="{762BA061-738A-1A4C-B949-494D3E5F705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17" i="1"/>
  <c r="C20" i="1" s="1"/>
  <c r="C23" i="1" s="1"/>
  <c r="C17" i="1"/>
  <c r="H16" i="1"/>
  <c r="F16" i="1"/>
  <c r="E16" i="1"/>
  <c r="H15" i="1"/>
  <c r="F15" i="1"/>
  <c r="E15" i="1"/>
  <c r="H14" i="1"/>
  <c r="F14" i="1"/>
  <c r="E14" i="1"/>
  <c r="H13" i="1"/>
  <c r="F13" i="1"/>
  <c r="E13" i="1"/>
  <c r="H12" i="1"/>
  <c r="F12" i="1"/>
  <c r="E12" i="1"/>
  <c r="H11" i="1"/>
  <c r="F11" i="1"/>
  <c r="E11" i="1"/>
  <c r="H10" i="1"/>
  <c r="F10" i="1"/>
  <c r="E10" i="1"/>
  <c r="H9" i="1"/>
  <c r="F9" i="1"/>
  <c r="E9" i="1"/>
  <c r="H8" i="1"/>
  <c r="F8" i="1"/>
  <c r="E8" i="1"/>
  <c r="H7" i="1"/>
  <c r="F7" i="1"/>
  <c r="E7" i="1"/>
  <c r="H6" i="1"/>
  <c r="F6" i="1"/>
  <c r="E6" i="1"/>
  <c r="H5" i="1"/>
  <c r="F5" i="1"/>
  <c r="E5" i="1"/>
  <c r="H17" i="1" l="1"/>
  <c r="I11" i="1" s="1"/>
  <c r="I12" i="1"/>
  <c r="I16" i="1"/>
  <c r="I15" i="1" l="1"/>
  <c r="I6" i="1"/>
  <c r="I9" i="1"/>
  <c r="C21" i="1"/>
  <c r="C26" i="1" s="1"/>
  <c r="I10" i="1"/>
  <c r="I5" i="1"/>
  <c r="I8" i="1"/>
  <c r="I7" i="1"/>
  <c r="I13" i="1"/>
  <c r="I14" i="1"/>
  <c r="C24" i="1" l="1"/>
  <c r="C31" i="1"/>
  <c r="C25" i="1"/>
  <c r="C27" i="1" s="1"/>
  <c r="C33" i="1" l="1"/>
  <c r="C32" i="1"/>
</calcChain>
</file>

<file path=xl/sharedStrings.xml><?xml version="1.0" encoding="utf-8"?>
<sst xmlns="http://schemas.openxmlformats.org/spreadsheetml/2006/main" count="26" uniqueCount="25">
  <si>
    <t>Data de revisão:</t>
  </si>
  <si>
    <t>Preparo:</t>
  </si>
  <si>
    <t>Matéria prima</t>
  </si>
  <si>
    <t>Qtd bruta (g)</t>
  </si>
  <si>
    <t>Qtd Liquida (g)</t>
  </si>
  <si>
    <t>FC</t>
  </si>
  <si>
    <t>IC</t>
  </si>
  <si>
    <t>Preço Unitário/Kg</t>
  </si>
  <si>
    <t>Custo Total</t>
  </si>
  <si>
    <t xml:space="preserve">Representação% </t>
  </si>
  <si>
    <t>TOTAL</t>
  </si>
  <si>
    <t>PAINEL</t>
  </si>
  <si>
    <t>FORMA DE PREPARO:  Teste</t>
  </si>
  <si>
    <t>PESO DA RECEITA</t>
  </si>
  <si>
    <t>CUSTO DA RECEITA</t>
  </si>
  <si>
    <t>N° DE PORÇÕES/RENDIMENTO</t>
  </si>
  <si>
    <t>PESO DA PORÇÃO</t>
  </si>
  <si>
    <t>PREÇO DE CUSTO DA PORÇÃO</t>
  </si>
  <si>
    <t>PREÇO MÍNIMO DE VENDA COM CMV</t>
  </si>
  <si>
    <t>CUSTO DO KG</t>
  </si>
  <si>
    <t>LUCRO BRUTO</t>
  </si>
  <si>
    <t>CMV (%)</t>
  </si>
  <si>
    <t>MARKUP/MULTIPLICADOR</t>
  </si>
  <si>
    <t>LUCRO BRUTO %</t>
  </si>
  <si>
    <t>LUCRO BRUTO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</si>
</sst>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00"/>
      <name val="Calibri"/>
      <family val="2"/>
    </font>
    <font>
      <sz val="12"/>
      <color rgb="FF0070C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1DA89A"/>
      <name val="Arial"/>
      <family val="2"/>
    </font>
    <font>
      <u/>
      <sz val="12"/>
      <color rgb="FF0000FF"/>
      <name val="Calibri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2F0D9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5" xfId="0" applyFill="1" applyBorder="1"/>
    <xf numFmtId="44" fontId="0" fillId="2" borderId="5" xfId="1" applyFont="1" applyFill="1" applyBorder="1"/>
    <xf numFmtId="164" fontId="0" fillId="2" borderId="5" xfId="0" applyNumberFormat="1" applyFill="1" applyBorder="1"/>
    <xf numFmtId="9" fontId="0" fillId="2" borderId="5" xfId="2" applyFont="1" applyFill="1" applyBorder="1"/>
    <xf numFmtId="0" fontId="0" fillId="2" borderId="4" xfId="0" applyFill="1" applyBorder="1"/>
    <xf numFmtId="44" fontId="0" fillId="2" borderId="4" xfId="1" applyFont="1" applyFill="1" applyBorder="1"/>
    <xf numFmtId="164" fontId="0" fillId="2" borderId="4" xfId="0" applyNumberFormat="1" applyFill="1" applyBorder="1"/>
    <xf numFmtId="9" fontId="0" fillId="2" borderId="4" xfId="2" applyFont="1" applyFill="1" applyBorder="1"/>
    <xf numFmtId="0" fontId="0" fillId="0" borderId="4" xfId="0" applyBorder="1" applyAlignment="1">
      <alignment wrapText="1"/>
    </xf>
    <xf numFmtId="0" fontId="0" fillId="0" borderId="4" xfId="0" applyBorder="1"/>
    <xf numFmtId="0" fontId="7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164" fontId="3" fillId="2" borderId="1" xfId="0" applyNumberFormat="1" applyFont="1" applyFill="1" applyBorder="1"/>
    <xf numFmtId="0" fontId="7" fillId="2" borderId="0" xfId="0" applyFont="1" applyFill="1"/>
    <xf numFmtId="164" fontId="0" fillId="2" borderId="0" xfId="0" applyNumberFormat="1" applyFill="1"/>
    <xf numFmtId="0" fontId="7" fillId="4" borderId="6" xfId="0" applyFont="1" applyFill="1" applyBorder="1" applyAlignment="1">
      <alignment horizontal="center"/>
    </xf>
    <xf numFmtId="0" fontId="0" fillId="0" borderId="7" xfId="0" applyBorder="1"/>
    <xf numFmtId="0" fontId="7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8" fillId="2" borderId="9" xfId="0" applyFont="1" applyFill="1" applyBorder="1"/>
    <xf numFmtId="0" fontId="8" fillId="2" borderId="0" xfId="0" applyFont="1" applyFill="1" applyAlignment="1">
      <alignment horizontal="right" vertical="center"/>
    </xf>
    <xf numFmtId="0" fontId="0" fillId="0" borderId="11" xfId="0" applyBorder="1"/>
    <xf numFmtId="0" fontId="0" fillId="0" borderId="0" xfId="0"/>
    <xf numFmtId="0" fontId="0" fillId="0" borderId="12" xfId="0" applyBorder="1"/>
    <xf numFmtId="164" fontId="8" fillId="2" borderId="0" xfId="0" applyNumberFormat="1" applyFont="1" applyFill="1" applyAlignment="1">
      <alignment horizontal="left"/>
    </xf>
    <xf numFmtId="0" fontId="8" fillId="5" borderId="1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65" fontId="8" fillId="2" borderId="0" xfId="0" applyNumberFormat="1" applyFont="1" applyFill="1" applyAlignment="1">
      <alignment horizontal="left"/>
    </xf>
    <xf numFmtId="0" fontId="9" fillId="3" borderId="13" xfId="0" applyFont="1" applyFill="1" applyBorder="1" applyAlignment="1">
      <alignment horizontal="left" wrapText="1"/>
    </xf>
    <xf numFmtId="8" fontId="9" fillId="2" borderId="0" xfId="0" applyNumberFormat="1" applyFont="1" applyFill="1" applyAlignment="1">
      <alignment horizontal="left"/>
    </xf>
    <xf numFmtId="0" fontId="8" fillId="2" borderId="15" xfId="0" applyFont="1" applyFill="1" applyBorder="1"/>
    <xf numFmtId="44" fontId="1" fillId="2" borderId="0" xfId="1" applyFont="1" applyFill="1" applyAlignment="1">
      <alignment horizontal="left"/>
    </xf>
    <xf numFmtId="0" fontId="10" fillId="2" borderId="13" xfId="0" applyFont="1" applyFill="1" applyBorder="1" applyAlignment="1">
      <alignment horizontal="left" vertical="center"/>
    </xf>
    <xf numFmtId="8" fontId="10" fillId="2" borderId="0" xfId="0" applyNumberFormat="1" applyFont="1" applyFill="1" applyAlignment="1">
      <alignment horizontal="left"/>
    </xf>
    <xf numFmtId="8" fontId="11" fillId="2" borderId="0" xfId="0" applyNumberFormat="1" applyFont="1" applyFill="1" applyAlignment="1">
      <alignment horizontal="left"/>
    </xf>
    <xf numFmtId="0" fontId="2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5" xfId="0" applyBorder="1"/>
    <xf numFmtId="44" fontId="1" fillId="2" borderId="10" xfId="0" applyNumberFormat="1" applyFont="1" applyFill="1" applyBorder="1" applyAlignment="1">
      <alignment horizontal="left"/>
    </xf>
    <xf numFmtId="44" fontId="1" fillId="2" borderId="0" xfId="0" applyNumberFormat="1" applyFont="1" applyFill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10" fontId="1" fillId="2" borderId="10" xfId="2" applyNumberFormat="1" applyFont="1" applyFill="1" applyBorder="1" applyAlignment="1">
      <alignment horizontal="center"/>
    </xf>
    <xf numFmtId="10" fontId="1" fillId="2" borderId="0" xfId="2" applyNumberFormat="1" applyFont="1" applyFill="1" applyAlignment="1">
      <alignment horizontal="center"/>
    </xf>
    <xf numFmtId="0" fontId="10" fillId="2" borderId="13" xfId="0" applyFont="1" applyFill="1" applyBorder="1" applyAlignment="1">
      <alignment horizontal="left"/>
    </xf>
    <xf numFmtId="44" fontId="10" fillId="2" borderId="14" xfId="0" applyNumberFormat="1" applyFont="1" applyFill="1" applyBorder="1" applyAlignment="1">
      <alignment horizontal="left"/>
    </xf>
    <xf numFmtId="44" fontId="10" fillId="2" borderId="0" xfId="0" applyNumberFormat="1" applyFont="1" applyFill="1" applyAlignment="1">
      <alignment horizontal="lef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164" fontId="0" fillId="0" borderId="0" xfId="0" applyNumberFormat="1"/>
    <xf numFmtId="0" fontId="11" fillId="2" borderId="22" xfId="0" applyFont="1" applyFill="1" applyBorder="1" applyAlignment="1">
      <alignment horizontal="left" vertical="center"/>
    </xf>
    <xf numFmtId="164" fontId="8" fillId="2" borderId="10" xfId="0" applyNumberFormat="1" applyFont="1" applyFill="1" applyBorder="1" applyAlignment="1">
      <alignment horizontal="center"/>
    </xf>
    <xf numFmtId="165" fontId="8" fillId="2" borderId="10" xfId="0" applyNumberFormat="1" applyFont="1" applyFill="1" applyBorder="1" applyAlignment="1">
      <alignment horizontal="center"/>
    </xf>
    <xf numFmtId="8" fontId="9" fillId="3" borderId="14" xfId="0" applyNumberFormat="1" applyFont="1" applyFill="1" applyBorder="1" applyAlignment="1">
      <alignment horizontal="center"/>
    </xf>
    <xf numFmtId="44" fontId="1" fillId="2" borderId="16" xfId="1" applyFont="1" applyFill="1" applyBorder="1" applyAlignment="1">
      <alignment horizontal="center"/>
    </xf>
    <xf numFmtId="8" fontId="10" fillId="2" borderId="23" xfId="0" applyNumberFormat="1" applyFont="1" applyFill="1" applyBorder="1" applyAlignment="1">
      <alignment horizontal="center"/>
    </xf>
    <xf numFmtId="10" fontId="11" fillId="5" borderId="1" xfId="0" applyNumberFormat="1" applyFont="1" applyFill="1" applyBorder="1" applyAlignment="1">
      <alignment horizontal="center"/>
    </xf>
    <xf numFmtId="0" fontId="14" fillId="2" borderId="1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22</xdr:row>
      <xdr:rowOff>0</xdr:rowOff>
    </xdr:from>
    <xdr:ext cx="9525" cy="9525"/>
    <xdr:pic>
      <xdr:nvPicPr>
        <xdr:cNvPr id="2" name="image2.png">
          <a:extLst>
            <a:ext uri="{FF2B5EF4-FFF2-40B4-BE49-F238E27FC236}">
              <a16:creationId xmlns:a16="http://schemas.microsoft.com/office/drawing/2014/main" id="{BD364E9B-4164-E74C-AA8E-5D05E6746E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46700" y="4533900"/>
          <a:ext cx="9525" cy="95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" name="image3.png">
          <a:extLst>
            <a:ext uri="{FF2B5EF4-FFF2-40B4-BE49-F238E27FC236}">
              <a16:creationId xmlns:a16="http://schemas.microsoft.com/office/drawing/2014/main" id="{FDBA5F17-9E04-1744-840A-214522ABDC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46700" y="4914900"/>
          <a:ext cx="9525" cy="95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9525" cy="9525"/>
    <xdr:pic>
      <xdr:nvPicPr>
        <xdr:cNvPr id="4" name="image4.png">
          <a:extLst>
            <a:ext uri="{FF2B5EF4-FFF2-40B4-BE49-F238E27FC236}">
              <a16:creationId xmlns:a16="http://schemas.microsoft.com/office/drawing/2014/main" id="{0C7E9D08-2C3F-9E44-AC97-B6749C3BCB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300" y="11366500"/>
          <a:ext cx="9525" cy="95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CD53-7853-6E4B-8DDB-D08E5D66BA3B}">
  <dimension ref="A1:U109"/>
  <sheetViews>
    <sheetView tabSelected="1" workbookViewId="0">
      <selection activeCell="B7" sqref="B7"/>
    </sheetView>
  </sheetViews>
  <sheetFormatPr baseColWidth="10" defaultColWidth="14.5" defaultRowHeight="16" x14ac:dyDescent="0.2"/>
  <cols>
    <col min="1" max="1" width="3.1640625" style="1" customWidth="1"/>
    <col min="2" max="2" width="44.33203125" customWidth="1"/>
    <col min="3" max="3" width="12.83203125" bestFit="1" customWidth="1"/>
    <col min="4" max="4" width="9.83203125" bestFit="1" customWidth="1"/>
    <col min="5" max="5" width="6.33203125" customWidth="1"/>
    <col min="6" max="6" width="6.5" customWidth="1"/>
    <col min="7" max="7" width="11.1640625" customWidth="1"/>
    <col min="8" max="8" width="11" bestFit="1" customWidth="1"/>
    <col min="9" max="9" width="13.5" customWidth="1"/>
    <col min="10" max="11" width="12.5" customWidth="1"/>
  </cols>
  <sheetData>
    <row r="1" spans="2:16" s="1" customFormat="1" ht="16" customHeight="1" thickBot="1" x14ac:dyDescent="0.25"/>
    <row r="2" spans="2:16" s="1" customFormat="1" ht="20" thickBot="1" x14ac:dyDescent="0.3">
      <c r="B2" s="75" t="s">
        <v>0</v>
      </c>
    </row>
    <row r="3" spans="2:16" s="1" customFormat="1" ht="22.25" customHeight="1" thickBot="1" x14ac:dyDescent="0.25">
      <c r="B3" s="3" t="s">
        <v>1</v>
      </c>
      <c r="C3" s="4"/>
      <c r="D3" s="4"/>
      <c r="E3" s="4"/>
      <c r="F3" s="4"/>
      <c r="G3" s="4"/>
      <c r="H3" s="4"/>
      <c r="I3" s="5"/>
    </row>
    <row r="4" spans="2:16" s="1" customFormat="1" ht="33" customHeight="1" thickBot="1" x14ac:dyDescent="0.25"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7" t="s">
        <v>7</v>
      </c>
      <c r="H4" s="9" t="s">
        <v>8</v>
      </c>
      <c r="I4" s="7" t="s">
        <v>9</v>
      </c>
      <c r="J4" s="10"/>
      <c r="K4" s="10"/>
    </row>
    <row r="5" spans="2:16" s="1" customFormat="1" x14ac:dyDescent="0.2">
      <c r="B5" s="11"/>
      <c r="C5" s="12"/>
      <c r="D5" s="12"/>
      <c r="E5" s="12" t="e">
        <f t="shared" ref="E5:E16" si="0">C5/D5</f>
        <v>#DIV/0!</v>
      </c>
      <c r="F5" s="12" t="e">
        <f t="shared" ref="F5:F16" si="1">D5/C5</f>
        <v>#DIV/0!</v>
      </c>
      <c r="G5" s="13">
        <v>0</v>
      </c>
      <c r="H5" s="14">
        <f t="shared" ref="H5:H16" si="2">(G5/1000*C5)</f>
        <v>0</v>
      </c>
      <c r="I5" s="15" t="e">
        <f t="shared" ref="I5:I16" si="3">SUM(H5/$H$17)</f>
        <v>#DIV/0!</v>
      </c>
    </row>
    <row r="6" spans="2:16" s="1" customFormat="1" x14ac:dyDescent="0.2">
      <c r="B6" s="11"/>
      <c r="C6" s="16"/>
      <c r="D6" s="16"/>
      <c r="E6" s="16" t="e">
        <f t="shared" si="0"/>
        <v>#DIV/0!</v>
      </c>
      <c r="F6" s="16" t="e">
        <f t="shared" si="1"/>
        <v>#DIV/0!</v>
      </c>
      <c r="G6" s="17">
        <v>0</v>
      </c>
      <c r="H6" s="18">
        <f t="shared" si="2"/>
        <v>0</v>
      </c>
      <c r="I6" s="19" t="e">
        <f t="shared" si="3"/>
        <v>#DIV/0!</v>
      </c>
    </row>
    <row r="7" spans="2:16" s="1" customFormat="1" x14ac:dyDescent="0.2">
      <c r="B7" s="11"/>
      <c r="C7" s="16"/>
      <c r="D7" s="16"/>
      <c r="E7" s="16" t="e">
        <f t="shared" si="0"/>
        <v>#DIV/0!</v>
      </c>
      <c r="F7" s="16" t="e">
        <f t="shared" si="1"/>
        <v>#DIV/0!</v>
      </c>
      <c r="G7" s="17">
        <v>0</v>
      </c>
      <c r="H7" s="18">
        <f t="shared" si="2"/>
        <v>0</v>
      </c>
      <c r="I7" s="19" t="e">
        <f t="shared" si="3"/>
        <v>#DIV/0!</v>
      </c>
    </row>
    <row r="8" spans="2:16" s="1" customFormat="1" x14ac:dyDescent="0.2">
      <c r="B8" s="11"/>
      <c r="C8" s="16"/>
      <c r="D8" s="16"/>
      <c r="E8" s="16" t="e">
        <f t="shared" si="0"/>
        <v>#DIV/0!</v>
      </c>
      <c r="F8" s="16" t="e">
        <f t="shared" si="1"/>
        <v>#DIV/0!</v>
      </c>
      <c r="G8" s="17">
        <v>0</v>
      </c>
      <c r="H8" s="18">
        <f t="shared" si="2"/>
        <v>0</v>
      </c>
      <c r="I8" s="19" t="e">
        <f t="shared" si="3"/>
        <v>#DIV/0!</v>
      </c>
    </row>
    <row r="9" spans="2:16" ht="15.75" customHeight="1" x14ac:dyDescent="0.2">
      <c r="B9" s="20"/>
      <c r="C9" s="21"/>
      <c r="D9" s="21"/>
      <c r="E9" s="21" t="e">
        <f t="shared" si="0"/>
        <v>#DIV/0!</v>
      </c>
      <c r="F9" s="16" t="e">
        <f t="shared" si="1"/>
        <v>#DIV/0!</v>
      </c>
      <c r="G9" s="17">
        <v>0</v>
      </c>
      <c r="H9" s="18">
        <f t="shared" si="2"/>
        <v>0</v>
      </c>
      <c r="I9" s="19" t="e">
        <f t="shared" si="3"/>
        <v>#DIV/0!</v>
      </c>
      <c r="J9" s="1"/>
      <c r="K9" s="1"/>
      <c r="L9" s="1"/>
      <c r="M9" s="1"/>
      <c r="N9" s="1"/>
      <c r="O9" s="1"/>
      <c r="P9" s="1"/>
    </row>
    <row r="10" spans="2:16" ht="15.75" customHeight="1" x14ac:dyDescent="0.2">
      <c r="B10" s="20"/>
      <c r="C10" s="21"/>
      <c r="D10" s="21"/>
      <c r="E10" s="21" t="e">
        <f t="shared" si="0"/>
        <v>#DIV/0!</v>
      </c>
      <c r="F10" s="16" t="e">
        <f t="shared" si="1"/>
        <v>#DIV/0!</v>
      </c>
      <c r="G10" s="17">
        <v>0</v>
      </c>
      <c r="H10" s="18">
        <f t="shared" si="2"/>
        <v>0</v>
      </c>
      <c r="I10" s="19" t="e">
        <f t="shared" si="3"/>
        <v>#DIV/0!</v>
      </c>
      <c r="J10" s="1"/>
      <c r="K10" s="1"/>
      <c r="L10" s="1"/>
      <c r="M10" s="1"/>
      <c r="N10" s="1"/>
      <c r="O10" s="1"/>
      <c r="P10" s="1"/>
    </row>
    <row r="11" spans="2:16" ht="15.75" customHeight="1" x14ac:dyDescent="0.2">
      <c r="B11" s="20"/>
      <c r="C11" s="21"/>
      <c r="D11" s="21"/>
      <c r="E11" s="21" t="e">
        <f t="shared" si="0"/>
        <v>#DIV/0!</v>
      </c>
      <c r="F11" s="16" t="e">
        <f t="shared" si="1"/>
        <v>#DIV/0!</v>
      </c>
      <c r="G11" s="17">
        <v>0</v>
      </c>
      <c r="H11" s="18">
        <f t="shared" si="2"/>
        <v>0</v>
      </c>
      <c r="I11" s="19" t="e">
        <f t="shared" si="3"/>
        <v>#DIV/0!</v>
      </c>
      <c r="J11" s="1"/>
      <c r="K11" s="1"/>
      <c r="L11" s="1"/>
      <c r="M11" s="1"/>
      <c r="N11" s="1"/>
      <c r="O11" s="1"/>
      <c r="P11" s="1"/>
    </row>
    <row r="12" spans="2:16" ht="15.75" customHeight="1" x14ac:dyDescent="0.2">
      <c r="B12" s="20"/>
      <c r="C12" s="21"/>
      <c r="D12" s="21"/>
      <c r="E12" s="21" t="e">
        <f t="shared" si="0"/>
        <v>#DIV/0!</v>
      </c>
      <c r="F12" s="16" t="e">
        <f t="shared" si="1"/>
        <v>#DIV/0!</v>
      </c>
      <c r="G12" s="17">
        <v>0</v>
      </c>
      <c r="H12" s="18">
        <f t="shared" si="2"/>
        <v>0</v>
      </c>
      <c r="I12" s="19" t="e">
        <f t="shared" si="3"/>
        <v>#DIV/0!</v>
      </c>
      <c r="J12" s="1"/>
      <c r="K12" s="1"/>
      <c r="L12" s="1"/>
      <c r="M12" s="1"/>
      <c r="N12" s="1"/>
      <c r="O12" s="1"/>
      <c r="P12" s="1"/>
    </row>
    <row r="13" spans="2:16" ht="15.75" customHeight="1" x14ac:dyDescent="0.2">
      <c r="B13" s="20"/>
      <c r="C13" s="21"/>
      <c r="D13" s="21"/>
      <c r="E13" s="21" t="e">
        <f t="shared" si="0"/>
        <v>#DIV/0!</v>
      </c>
      <c r="F13" s="16" t="e">
        <f t="shared" si="1"/>
        <v>#DIV/0!</v>
      </c>
      <c r="G13" s="17">
        <v>0</v>
      </c>
      <c r="H13" s="18">
        <f t="shared" si="2"/>
        <v>0</v>
      </c>
      <c r="I13" s="19" t="e">
        <f t="shared" si="3"/>
        <v>#DIV/0!</v>
      </c>
      <c r="J13" s="1"/>
      <c r="K13" s="1"/>
      <c r="L13" s="1"/>
      <c r="M13" s="1"/>
      <c r="N13" s="1"/>
      <c r="O13" s="1"/>
      <c r="P13" s="1"/>
    </row>
    <row r="14" spans="2:16" ht="15.75" customHeight="1" x14ac:dyDescent="0.2">
      <c r="B14" s="20"/>
      <c r="C14" s="21"/>
      <c r="D14" s="21"/>
      <c r="E14" s="21" t="e">
        <f t="shared" si="0"/>
        <v>#DIV/0!</v>
      </c>
      <c r="F14" s="16" t="e">
        <f t="shared" si="1"/>
        <v>#DIV/0!</v>
      </c>
      <c r="G14" s="17">
        <v>0</v>
      </c>
      <c r="H14" s="18">
        <f t="shared" si="2"/>
        <v>0</v>
      </c>
      <c r="I14" s="19" t="e">
        <f t="shared" si="3"/>
        <v>#DIV/0!</v>
      </c>
      <c r="J14" s="1"/>
      <c r="K14" s="1"/>
      <c r="L14" s="1"/>
      <c r="M14" s="1"/>
      <c r="N14" s="1"/>
      <c r="O14" s="1"/>
      <c r="P14" s="1"/>
    </row>
    <row r="15" spans="2:16" ht="15.75" customHeight="1" x14ac:dyDescent="0.2">
      <c r="B15" s="20"/>
      <c r="C15" s="21"/>
      <c r="D15" s="21"/>
      <c r="E15" s="21" t="e">
        <f t="shared" si="0"/>
        <v>#DIV/0!</v>
      </c>
      <c r="F15" s="16" t="e">
        <f t="shared" si="1"/>
        <v>#DIV/0!</v>
      </c>
      <c r="G15" s="17">
        <v>0</v>
      </c>
      <c r="H15" s="18">
        <f t="shared" si="2"/>
        <v>0</v>
      </c>
      <c r="I15" s="19" t="e">
        <f t="shared" si="3"/>
        <v>#DIV/0!</v>
      </c>
      <c r="J15" s="1"/>
      <c r="K15" s="1"/>
      <c r="L15" s="1"/>
      <c r="M15" s="1"/>
      <c r="N15" s="1"/>
      <c r="O15" s="1"/>
      <c r="P15" s="1"/>
    </row>
    <row r="16" spans="2:16" ht="15.75" customHeight="1" thickBot="1" x14ac:dyDescent="0.25">
      <c r="B16" s="20"/>
      <c r="C16" s="21"/>
      <c r="D16" s="21"/>
      <c r="E16" s="21" t="e">
        <f t="shared" si="0"/>
        <v>#DIV/0!</v>
      </c>
      <c r="F16" s="16" t="e">
        <f t="shared" si="1"/>
        <v>#DIV/0!</v>
      </c>
      <c r="G16" s="17">
        <v>0</v>
      </c>
      <c r="H16" s="18">
        <f t="shared" si="2"/>
        <v>0</v>
      </c>
      <c r="I16" s="19" t="e">
        <f t="shared" si="3"/>
        <v>#DIV/0!</v>
      </c>
      <c r="J16" s="1"/>
      <c r="K16" s="1"/>
      <c r="L16" s="1"/>
      <c r="M16" s="1"/>
      <c r="N16" s="1"/>
      <c r="O16" s="1"/>
      <c r="P16" s="1"/>
    </row>
    <row r="17" spans="2:21" ht="15.75" customHeight="1" thickBot="1" x14ac:dyDescent="0.25">
      <c r="B17" s="22" t="s">
        <v>10</v>
      </c>
      <c r="C17" s="2">
        <f>SUM(C5:C16)</f>
        <v>0</v>
      </c>
      <c r="D17" s="2">
        <f>SUM(D5:D16)</f>
        <v>0</v>
      </c>
      <c r="E17" s="23"/>
      <c r="F17" s="24"/>
      <c r="G17" s="25" t="s">
        <v>8</v>
      </c>
      <c r="H17" s="25">
        <f>SUM(H5:H16)</f>
        <v>0</v>
      </c>
      <c r="I17" s="24"/>
      <c r="J17" s="1"/>
      <c r="K17" s="1"/>
      <c r="L17" s="1"/>
      <c r="M17" s="1"/>
      <c r="N17" s="1"/>
      <c r="O17" s="1"/>
      <c r="P17" s="1"/>
      <c r="Q17" s="1"/>
      <c r="R17" s="1"/>
    </row>
    <row r="18" spans="2:21" ht="17" customHeight="1" thickBot="1" x14ac:dyDescent="0.25">
      <c r="B18" s="26"/>
      <c r="C18" s="1"/>
      <c r="D18" s="1"/>
      <c r="E18" s="1"/>
      <c r="F18" s="2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21" ht="17" thickBot="1" x14ac:dyDescent="0.25">
      <c r="B19" s="28" t="s">
        <v>11</v>
      </c>
      <c r="C19" s="29"/>
      <c r="D19" s="30"/>
      <c r="E19" s="31" t="s">
        <v>12</v>
      </c>
      <c r="F19" s="32"/>
      <c r="G19" s="32"/>
      <c r="H19" s="32"/>
      <c r="I19" s="32"/>
      <c r="J19" s="29"/>
      <c r="K19" s="1"/>
      <c r="L19" s="1"/>
      <c r="M19" s="1"/>
      <c r="N19" s="1"/>
      <c r="O19" s="1"/>
      <c r="P19" s="1"/>
    </row>
    <row r="20" spans="2:21" x14ac:dyDescent="0.2">
      <c r="B20" s="33" t="s">
        <v>13</v>
      </c>
      <c r="C20" s="41">
        <f>D17</f>
        <v>0</v>
      </c>
      <c r="D20" s="34"/>
      <c r="E20" s="35"/>
      <c r="F20" s="36"/>
      <c r="G20" s="36"/>
      <c r="H20" s="36"/>
      <c r="I20" s="36"/>
      <c r="J20" s="37"/>
      <c r="K20" s="1"/>
      <c r="L20" s="1"/>
      <c r="M20" s="1"/>
      <c r="N20" s="1"/>
      <c r="O20" s="1"/>
      <c r="P20" s="1"/>
    </row>
    <row r="21" spans="2:21" x14ac:dyDescent="0.2">
      <c r="B21" s="33" t="s">
        <v>14</v>
      </c>
      <c r="C21" s="69">
        <f>H17</f>
        <v>0</v>
      </c>
      <c r="D21" s="38"/>
      <c r="E21" s="35"/>
      <c r="F21" s="36"/>
      <c r="G21" s="36"/>
      <c r="H21" s="36"/>
      <c r="I21" s="36"/>
      <c r="J21" s="37"/>
      <c r="K21" s="1"/>
      <c r="L21" s="1"/>
      <c r="M21" s="1"/>
      <c r="N21" s="1"/>
      <c r="O21" s="1"/>
      <c r="P21" s="1"/>
    </row>
    <row r="22" spans="2:21" x14ac:dyDescent="0.2">
      <c r="B22" s="33" t="s">
        <v>15</v>
      </c>
      <c r="C22" s="39">
        <v>1</v>
      </c>
      <c r="D22" s="40"/>
      <c r="E22" s="35"/>
      <c r="F22" s="36"/>
      <c r="G22" s="36"/>
      <c r="H22" s="36"/>
      <c r="I22" s="36"/>
      <c r="J22" s="3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ht="15.75" customHeight="1" x14ac:dyDescent="0.2">
      <c r="B23" s="33" t="s">
        <v>16</v>
      </c>
      <c r="C23" s="41">
        <f>C20/C22</f>
        <v>0</v>
      </c>
      <c r="D23" s="40"/>
      <c r="E23" s="35"/>
      <c r="F23" s="36"/>
      <c r="G23" s="36"/>
      <c r="H23" s="36"/>
      <c r="I23" s="36"/>
      <c r="J23" s="3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2">
      <c r="B24" s="33" t="s">
        <v>17</v>
      </c>
      <c r="C24" s="70">
        <f>C21/C22</f>
        <v>0</v>
      </c>
      <c r="D24" s="42"/>
      <c r="E24" s="35"/>
      <c r="F24" s="36"/>
      <c r="G24" s="36"/>
      <c r="H24" s="36"/>
      <c r="I24" s="36"/>
      <c r="J24" s="3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ht="18" thickBot="1" x14ac:dyDescent="0.25">
      <c r="B25" s="43" t="s">
        <v>18</v>
      </c>
      <c r="C25" s="71">
        <f>C24/C28</f>
        <v>0</v>
      </c>
      <c r="D25" s="44"/>
      <c r="E25" s="35"/>
      <c r="F25" s="36"/>
      <c r="G25" s="36"/>
      <c r="H25" s="36"/>
      <c r="I25" s="36"/>
      <c r="J25" s="3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 x14ac:dyDescent="0.2">
      <c r="B26" s="45" t="s">
        <v>19</v>
      </c>
      <c r="C26" s="72" t="e">
        <f>C21/C20*1000</f>
        <v>#DIV/0!</v>
      </c>
      <c r="D26" s="46"/>
      <c r="E26" s="35"/>
      <c r="F26" s="36"/>
      <c r="G26" s="36"/>
      <c r="H26" s="36"/>
      <c r="I26" s="36"/>
      <c r="J26" s="3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 ht="17" thickBot="1" x14ac:dyDescent="0.25">
      <c r="B27" s="47" t="s">
        <v>20</v>
      </c>
      <c r="C27" s="73">
        <f>C25-C24</f>
        <v>0</v>
      </c>
      <c r="D27" s="48"/>
      <c r="E27" s="35"/>
      <c r="F27" s="36"/>
      <c r="G27" s="36"/>
      <c r="H27" s="36"/>
      <c r="I27" s="36"/>
      <c r="J27" s="3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 ht="17" thickBot="1" x14ac:dyDescent="0.25">
      <c r="B28" s="68" t="s">
        <v>21</v>
      </c>
      <c r="C28" s="74">
        <v>0.3</v>
      </c>
      <c r="D28" s="49"/>
      <c r="E28" s="35"/>
      <c r="F28" s="36"/>
      <c r="G28" s="36"/>
      <c r="H28" s="36"/>
      <c r="I28" s="36"/>
      <c r="J28" s="3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2:21" ht="15.75" customHeight="1" thickBot="1" x14ac:dyDescent="0.25">
      <c r="B29" s="1"/>
      <c r="C29" s="1"/>
      <c r="D29" s="1"/>
      <c r="E29" s="35"/>
      <c r="F29" s="36"/>
      <c r="G29" s="36"/>
      <c r="H29" s="36"/>
      <c r="I29" s="36"/>
      <c r="J29" s="3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ht="15.75" customHeight="1" x14ac:dyDescent="0.2">
      <c r="B30" s="50" t="s">
        <v>22</v>
      </c>
      <c r="C30" s="51">
        <f>1/C28</f>
        <v>3.3333333333333335</v>
      </c>
      <c r="D30" s="52"/>
      <c r="E30" s="35"/>
      <c r="F30" s="36"/>
      <c r="G30" s="36"/>
      <c r="H30" s="36"/>
      <c r="I30" s="36"/>
      <c r="J30" s="3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2:21" ht="15.75" customHeight="1" x14ac:dyDescent="0.2">
      <c r="B31" s="53"/>
      <c r="C31" s="54">
        <f>C24*C30</f>
        <v>0</v>
      </c>
      <c r="D31" s="55"/>
      <c r="E31" s="35"/>
      <c r="F31" s="36"/>
      <c r="G31" s="36"/>
      <c r="H31" s="36"/>
      <c r="I31" s="36"/>
      <c r="J31" s="3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2:21" ht="15.75" customHeight="1" x14ac:dyDescent="0.2">
      <c r="B32" s="56" t="s">
        <v>23</v>
      </c>
      <c r="C32" s="57" t="e">
        <f>(C31-C24)/C31</f>
        <v>#DIV/0!</v>
      </c>
      <c r="D32" s="58"/>
      <c r="E32" s="35"/>
      <c r="F32" s="36"/>
      <c r="G32" s="36"/>
      <c r="H32" s="36"/>
      <c r="I32" s="36"/>
      <c r="J32" s="3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 ht="15.75" customHeight="1" thickBot="1" x14ac:dyDescent="0.25">
      <c r="B33" s="59" t="s">
        <v>24</v>
      </c>
      <c r="C33" s="60">
        <f>C31-C24</f>
        <v>0</v>
      </c>
      <c r="D33" s="61"/>
      <c r="E33" s="62"/>
      <c r="F33" s="63"/>
      <c r="G33" s="63"/>
      <c r="H33" s="63"/>
      <c r="I33" s="63"/>
      <c r="J33" s="6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 ht="15.75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1" ht="15.75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1" ht="15.75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2:21" ht="15.75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21" ht="15.75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21" ht="15.75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2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21" ht="15.75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21" ht="15.75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21" ht="15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21" ht="15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21" ht="15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21" ht="15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21" ht="15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21" ht="15.75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21" ht="15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21" ht="15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21" ht="15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21" ht="15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ht="15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ht="15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ht="15.75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ht="15.75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ht="15.75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ht="15.75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ht="15.75" customHeight="1" x14ac:dyDescent="0.2">
      <c r="B59" s="65"/>
      <c r="C59" s="1"/>
      <c r="D59" s="1"/>
      <c r="E59" s="1"/>
      <c r="F59" s="1"/>
      <c r="G59" s="2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ht="15.75" customHeight="1" x14ac:dyDescent="0.2">
      <c r="B60" s="66"/>
      <c r="C60" s="1"/>
      <c r="D60" s="1"/>
      <c r="E60" s="1"/>
      <c r="F60" s="1"/>
      <c r="G60" s="2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ht="15.75" customHeight="1" x14ac:dyDescent="0.2">
      <c r="B61" s="1"/>
      <c r="C61" s="1"/>
      <c r="D61" s="1"/>
      <c r="E61" s="1"/>
      <c r="F61" s="1"/>
      <c r="G61" s="2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ht="15.75" customHeight="1" x14ac:dyDescent="0.2">
      <c r="B62" s="1"/>
      <c r="C62" s="1"/>
      <c r="D62" s="1"/>
      <c r="E62" s="1"/>
      <c r="F62" s="1"/>
      <c r="G62" s="2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ht="15.75" customHeight="1" x14ac:dyDescent="0.2">
      <c r="B63" s="1"/>
      <c r="C63" s="1"/>
      <c r="D63" s="1"/>
      <c r="E63" s="1"/>
      <c r="F63" s="1"/>
      <c r="G63" s="2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ht="15.75" customHeight="1" x14ac:dyDescent="0.2">
      <c r="B64" s="1"/>
      <c r="C64" s="1"/>
      <c r="D64" s="1"/>
      <c r="E64" s="1"/>
      <c r="F64" s="1"/>
      <c r="G64" s="2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2:21" ht="15.75" customHeight="1" x14ac:dyDescent="0.2">
      <c r="B65" s="1"/>
      <c r="C65" s="1"/>
      <c r="D65" s="1"/>
      <c r="E65" s="1"/>
      <c r="F65" s="1"/>
      <c r="G65" s="2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2:21" ht="15.75" customHeight="1" x14ac:dyDescent="0.2">
      <c r="B66" s="1"/>
      <c r="C66" s="1"/>
      <c r="D66" s="1"/>
      <c r="E66" s="1"/>
      <c r="F66" s="1"/>
      <c r="G66" s="2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2:21" ht="15.75" customHeight="1" x14ac:dyDescent="0.2">
      <c r="B67" s="1"/>
      <c r="C67" s="1"/>
      <c r="D67" s="1"/>
      <c r="E67" s="1"/>
      <c r="F67" s="1"/>
      <c r="G67" s="2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2:21" ht="15.75" customHeight="1" x14ac:dyDescent="0.2">
      <c r="B68" s="1"/>
      <c r="C68" s="1"/>
      <c r="D68" s="1"/>
      <c r="E68" s="1"/>
      <c r="F68" s="1"/>
      <c r="G68" s="2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2:21" ht="15.75" customHeight="1" x14ac:dyDescent="0.2">
      <c r="B69" s="1"/>
      <c r="C69" s="1"/>
      <c r="D69" s="1"/>
      <c r="E69" s="1"/>
      <c r="F69" s="1"/>
      <c r="G69" s="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2:21" ht="15.75" customHeight="1" x14ac:dyDescent="0.2">
      <c r="B70" s="1"/>
      <c r="C70" s="1"/>
      <c r="D70" s="1"/>
      <c r="E70" s="1"/>
      <c r="F70" s="1"/>
      <c r="G70" s="2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2:21" ht="15.75" customHeight="1" x14ac:dyDescent="0.2">
      <c r="B71" s="1"/>
      <c r="C71" s="1"/>
      <c r="D71" s="1"/>
      <c r="E71" s="1"/>
      <c r="F71" s="1"/>
      <c r="G71" s="2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2:21" ht="15.75" customHeight="1" x14ac:dyDescent="0.2">
      <c r="B72" s="1"/>
      <c r="C72" s="1"/>
      <c r="D72" s="1"/>
      <c r="E72" s="1"/>
      <c r="F72" s="1"/>
      <c r="G72" s="2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2:21" ht="15.75" customHeight="1" x14ac:dyDescent="0.2">
      <c r="B73" s="1"/>
      <c r="C73" s="1"/>
      <c r="D73" s="1"/>
      <c r="E73" s="1"/>
      <c r="F73" s="1"/>
      <c r="G73" s="2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2:21" ht="15.75" customHeight="1" x14ac:dyDescent="0.2">
      <c r="B74" s="1"/>
      <c r="C74" s="1"/>
      <c r="D74" s="1"/>
      <c r="E74" s="1"/>
      <c r="F74" s="1"/>
      <c r="G74" s="2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2:21" ht="15.75" customHeight="1" x14ac:dyDescent="0.2">
      <c r="B75" s="1"/>
      <c r="C75" s="1"/>
      <c r="D75" s="1"/>
      <c r="E75" s="1"/>
      <c r="F75" s="1"/>
      <c r="G75" s="2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2:21" ht="15.75" customHeight="1" x14ac:dyDescent="0.2">
      <c r="B76" s="1"/>
      <c r="C76" s="1"/>
      <c r="D76" s="1"/>
      <c r="E76" s="1"/>
      <c r="F76" s="1"/>
      <c r="G76" s="2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2:21" ht="15.75" customHeight="1" x14ac:dyDescent="0.2">
      <c r="B77" s="1"/>
      <c r="C77" s="1"/>
      <c r="D77" s="1"/>
      <c r="E77" s="1"/>
      <c r="F77" s="1"/>
      <c r="G77" s="2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2:21" ht="15.75" customHeight="1" x14ac:dyDescent="0.2">
      <c r="B78" s="1"/>
      <c r="C78" s="1"/>
      <c r="D78" s="1"/>
      <c r="E78" s="1"/>
      <c r="F78" s="1"/>
      <c r="G78" s="2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2:21" ht="15.75" customHeight="1" x14ac:dyDescent="0.2">
      <c r="B79" s="1"/>
      <c r="C79" s="1"/>
      <c r="D79" s="1"/>
      <c r="E79" s="1"/>
      <c r="F79" s="1"/>
      <c r="G79" s="2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2:21" ht="15.75" customHeight="1" x14ac:dyDescent="0.2">
      <c r="B80" s="1"/>
      <c r="C80" s="1"/>
      <c r="D80" s="1"/>
      <c r="E80" s="1"/>
      <c r="F80" s="1"/>
      <c r="G80" s="2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2:21" ht="15.75" customHeight="1" x14ac:dyDescent="0.2">
      <c r="B81" s="1"/>
      <c r="C81" s="1"/>
      <c r="D81" s="1"/>
      <c r="E81" s="1"/>
      <c r="F81" s="1"/>
      <c r="G81" s="2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2:21" ht="15.75" customHeight="1" x14ac:dyDescent="0.2">
      <c r="B82" s="1"/>
      <c r="C82" s="1"/>
      <c r="D82" s="1"/>
      <c r="E82" s="1"/>
      <c r="F82" s="1"/>
      <c r="G82" s="2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2:21" ht="15.75" customHeight="1" x14ac:dyDescent="0.2">
      <c r="B83" s="1"/>
      <c r="C83" s="1"/>
      <c r="D83" s="1"/>
      <c r="E83" s="1"/>
      <c r="F83" s="1"/>
      <c r="G83" s="2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2:21" ht="15.75" customHeight="1" x14ac:dyDescent="0.2">
      <c r="B84" s="1"/>
      <c r="C84" s="1"/>
      <c r="D84" s="1"/>
      <c r="E84" s="1"/>
      <c r="F84" s="1"/>
      <c r="G84" s="2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2:21" ht="15.75" customHeight="1" x14ac:dyDescent="0.2">
      <c r="B85" s="1"/>
      <c r="C85" s="1"/>
      <c r="D85" s="1"/>
      <c r="E85" s="1"/>
      <c r="F85" s="1"/>
      <c r="G85" s="2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2:21" ht="15.75" customHeight="1" x14ac:dyDescent="0.2">
      <c r="B86" s="1"/>
      <c r="C86" s="1"/>
      <c r="D86" s="1"/>
      <c r="E86" s="1"/>
      <c r="F86" s="1"/>
      <c r="G86" s="2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2:21" ht="15.75" customHeight="1" x14ac:dyDescent="0.2">
      <c r="B87" s="1"/>
      <c r="C87" s="1"/>
      <c r="D87" s="1"/>
      <c r="E87" s="1"/>
      <c r="F87" s="1"/>
      <c r="G87" s="2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2:21" ht="15.75" customHeight="1" x14ac:dyDescent="0.2">
      <c r="B88" s="1"/>
      <c r="C88" s="1"/>
      <c r="D88" s="1"/>
      <c r="E88" s="1"/>
      <c r="F88" s="1"/>
      <c r="G88" s="2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2:21" ht="15.75" customHeight="1" x14ac:dyDescent="0.2">
      <c r="B89" s="1"/>
      <c r="C89" s="1"/>
      <c r="D89" s="1"/>
      <c r="E89" s="1"/>
      <c r="F89" s="1"/>
      <c r="G89" s="2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2:21" ht="15.75" customHeight="1" x14ac:dyDescent="0.2">
      <c r="B90" s="1"/>
      <c r="C90" s="1"/>
      <c r="D90" s="1"/>
      <c r="E90" s="1"/>
      <c r="F90" s="1"/>
      <c r="G90" s="2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2:21" ht="15.75" customHeight="1" x14ac:dyDescent="0.2">
      <c r="B91" s="1"/>
      <c r="C91" s="1"/>
      <c r="D91" s="1"/>
      <c r="E91" s="1"/>
      <c r="F91" s="1"/>
      <c r="G91" s="27"/>
      <c r="H91" s="1"/>
      <c r="I91" s="1"/>
      <c r="J91" s="1"/>
      <c r="K91" s="1"/>
    </row>
    <row r="92" spans="2:21" ht="15.75" customHeight="1" x14ac:dyDescent="0.2">
      <c r="B92" s="1"/>
      <c r="C92" s="1"/>
      <c r="D92" s="1"/>
      <c r="E92" s="1"/>
      <c r="F92" s="1"/>
      <c r="G92" s="27"/>
      <c r="H92" s="1"/>
      <c r="I92" s="1"/>
      <c r="J92" s="1"/>
      <c r="K92" s="1"/>
    </row>
    <row r="93" spans="2:21" ht="15.75" customHeight="1" x14ac:dyDescent="0.2">
      <c r="B93" s="1"/>
      <c r="C93" s="1"/>
      <c r="D93" s="1"/>
      <c r="E93" s="1"/>
      <c r="F93" s="1"/>
      <c r="G93" s="27"/>
      <c r="H93" s="1"/>
    </row>
    <row r="94" spans="2:21" ht="15.75" customHeight="1" x14ac:dyDescent="0.2">
      <c r="B94" s="1"/>
      <c r="C94" s="1"/>
      <c r="D94" s="1"/>
      <c r="E94" s="1"/>
      <c r="F94" s="1"/>
      <c r="G94" s="27"/>
      <c r="H94" s="1"/>
    </row>
    <row r="95" spans="2:21" ht="15.75" customHeight="1" x14ac:dyDescent="0.2">
      <c r="B95" s="1"/>
      <c r="C95" s="1"/>
      <c r="D95" s="1"/>
      <c r="E95" s="1"/>
      <c r="F95" s="1"/>
      <c r="G95" s="27"/>
      <c r="H95" s="1"/>
    </row>
    <row r="96" spans="2:21" ht="15.75" customHeight="1" x14ac:dyDescent="0.2">
      <c r="B96" s="1"/>
      <c r="C96" s="1"/>
      <c r="D96" s="1"/>
      <c r="E96" s="1"/>
      <c r="F96" s="1"/>
      <c r="G96" s="27"/>
      <c r="H96" s="1"/>
    </row>
    <row r="97" spans="2:8" ht="15.75" customHeight="1" x14ac:dyDescent="0.2">
      <c r="B97" s="1"/>
      <c r="C97" s="1"/>
      <c r="D97" s="1"/>
      <c r="E97" s="1"/>
      <c r="F97" s="1"/>
      <c r="G97" s="27"/>
      <c r="H97" s="1"/>
    </row>
    <row r="98" spans="2:8" ht="15.75" customHeight="1" x14ac:dyDescent="0.2">
      <c r="B98" s="1"/>
      <c r="C98" s="1"/>
      <c r="G98" s="27"/>
      <c r="H98" s="1"/>
    </row>
    <row r="99" spans="2:8" ht="15.75" customHeight="1" x14ac:dyDescent="0.2">
      <c r="G99" s="67"/>
    </row>
    <row r="100" spans="2:8" ht="15.75" customHeight="1" x14ac:dyDescent="0.2">
      <c r="G100" s="67"/>
    </row>
    <row r="101" spans="2:8" ht="15.75" customHeight="1" x14ac:dyDescent="0.2">
      <c r="G101" s="67"/>
    </row>
    <row r="102" spans="2:8" ht="15.75" customHeight="1" x14ac:dyDescent="0.2">
      <c r="G102" s="67"/>
    </row>
    <row r="103" spans="2:8" ht="15.75" customHeight="1" x14ac:dyDescent="0.2">
      <c r="G103" s="67"/>
    </row>
    <row r="104" spans="2:8" x14ac:dyDescent="0.2">
      <c r="G104" s="67"/>
    </row>
    <row r="105" spans="2:8" x14ac:dyDescent="0.2">
      <c r="G105" s="67"/>
    </row>
    <row r="106" spans="2:8" x14ac:dyDescent="0.2">
      <c r="G106" s="67"/>
    </row>
    <row r="107" spans="2:8" x14ac:dyDescent="0.2">
      <c r="G107" s="67"/>
    </row>
    <row r="108" spans="2:8" x14ac:dyDescent="0.2">
      <c r="G108" s="67"/>
    </row>
    <row r="109" spans="2:8" x14ac:dyDescent="0.2">
      <c r="G109" s="67"/>
    </row>
  </sheetData>
  <mergeCells count="4">
    <mergeCell ref="B3:I3"/>
    <mergeCell ref="B19:C19"/>
    <mergeCell ref="E19:J33"/>
    <mergeCell ref="B30:B31"/>
  </mergeCells>
  <conditionalFormatting sqref="I5:I16">
    <cfRule type="colorScale" priority="1">
      <colorScale>
        <cfvo type="percent" val="0"/>
        <cfvo type="percent" val="100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Rogerio</dc:creator>
  <cp:lastModifiedBy>Gabriel Rogerio</cp:lastModifiedBy>
  <dcterms:created xsi:type="dcterms:W3CDTF">2025-12-22T15:54:24Z</dcterms:created>
  <dcterms:modified xsi:type="dcterms:W3CDTF">2025-12-22T15:56:09Z</dcterms:modified>
</cp:coreProperties>
</file>